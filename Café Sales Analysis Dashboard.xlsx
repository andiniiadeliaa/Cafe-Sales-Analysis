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las IBM\"/>
    </mc:Choice>
  </mc:AlternateContent>
  <xr:revisionPtr revIDLastSave="0" documentId="8_{4744F875-8F0A-4847-9841-8C077BA963A5}" xr6:coauthVersionLast="47" xr6:coauthVersionMax="47" xr10:uidLastSave="{00000000-0000-0000-0000-000000000000}"/>
  <bookViews>
    <workbookView xWindow="-96" yWindow="0" windowWidth="12708" windowHeight="12336" xr2:uid="{213F3CA3-9ECC-44EF-973F-C8952B16DCA2}"/>
  </bookViews>
  <sheets>
    <sheet name="Raw Data" sheetId="1" r:id="rId1"/>
    <sheet name="Analysi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4" i="2" l="1"/>
  <c r="C23" i="2"/>
  <c r="C22" i="2"/>
  <c r="B24" i="2"/>
  <c r="B23" i="2"/>
  <c r="B22" i="2"/>
  <c r="C35" i="2"/>
  <c r="C34" i="2"/>
  <c r="B35" i="2"/>
  <c r="B34" i="2"/>
  <c r="C29" i="2"/>
  <c r="C30" i="2"/>
  <c r="C28" i="2"/>
  <c r="B29" i="2"/>
  <c r="B30" i="2"/>
  <c r="B28" i="2"/>
  <c r="C18" i="2"/>
  <c r="C17" i="2"/>
  <c r="B18" i="2"/>
  <c r="B17" i="2"/>
  <c r="C9" i="2"/>
  <c r="C10" i="2"/>
  <c r="C11" i="2"/>
  <c r="C12" i="2"/>
  <c r="C13" i="2"/>
  <c r="C8" i="2"/>
  <c r="B9" i="2"/>
  <c r="B10" i="2"/>
  <c r="B11" i="2"/>
  <c r="B12" i="2"/>
  <c r="B13" i="2"/>
  <c r="B8" i="2"/>
  <c r="C4" i="2"/>
  <c r="D4" i="2"/>
  <c r="F4" i="2"/>
  <c r="E4" i="2"/>
  <c r="B4" i="2"/>
  <c r="A4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</calcChain>
</file>

<file path=xl/sharedStrings.xml><?xml version="1.0" encoding="utf-8"?>
<sst xmlns="http://schemas.openxmlformats.org/spreadsheetml/2006/main" count="203" uniqueCount="75">
  <si>
    <t>ID</t>
  </si>
  <si>
    <t>TR001</t>
  </si>
  <si>
    <t>TR002</t>
  </si>
  <si>
    <t>TR003</t>
  </si>
  <si>
    <t>TR004</t>
  </si>
  <si>
    <t>TR005</t>
  </si>
  <si>
    <t>TR006</t>
  </si>
  <si>
    <t>TR007</t>
  </si>
  <si>
    <t>TR008</t>
  </si>
  <si>
    <t>TR009</t>
  </si>
  <si>
    <t>TR010</t>
  </si>
  <si>
    <t>TR011</t>
  </si>
  <si>
    <t>TR012</t>
  </si>
  <si>
    <t>TR013</t>
  </si>
  <si>
    <t>TR014</t>
  </si>
  <si>
    <t>TR015</t>
  </si>
  <si>
    <t>TR016</t>
  </si>
  <si>
    <t>TR017</t>
  </si>
  <si>
    <t>TR018</t>
  </si>
  <si>
    <t>TR019</t>
  </si>
  <si>
    <t>TR020</t>
  </si>
  <si>
    <t>TR021</t>
  </si>
  <si>
    <t>TR022</t>
  </si>
  <si>
    <t>TR023</t>
  </si>
  <si>
    <t>TR024</t>
  </si>
  <si>
    <t>TR025</t>
  </si>
  <si>
    <t>TR026</t>
  </si>
  <si>
    <t>TR027</t>
  </si>
  <si>
    <t>TR028</t>
  </si>
  <si>
    <t>TR029</t>
  </si>
  <si>
    <t>TR030</t>
  </si>
  <si>
    <t>Iced Coffee</t>
  </si>
  <si>
    <t>Croissant</t>
  </si>
  <si>
    <t>Matcha Latte</t>
  </si>
  <si>
    <t>Chocolate Cake</t>
  </si>
  <si>
    <t>French Fries</t>
  </si>
  <si>
    <t>Iced Tea</t>
  </si>
  <si>
    <t>Beverage</t>
  </si>
  <si>
    <t>Food</t>
  </si>
  <si>
    <t>CASH</t>
  </si>
  <si>
    <t>QRIS</t>
  </si>
  <si>
    <t>Regular</t>
  </si>
  <si>
    <t>Debit</t>
  </si>
  <si>
    <t>New</t>
  </si>
  <si>
    <t>Date</t>
  </si>
  <si>
    <t>Product</t>
  </si>
  <si>
    <t>Category</t>
  </si>
  <si>
    <t>Quantity</t>
  </si>
  <si>
    <t>Unit Price</t>
  </si>
  <si>
    <t>Payment</t>
  </si>
  <si>
    <t>Customer</t>
  </si>
  <si>
    <t>CAFÉ SALES ANALYSIS</t>
  </si>
  <si>
    <t>Total Revenue</t>
  </si>
  <si>
    <t>Total Quantity Sold</t>
  </si>
  <si>
    <t>Total Transactions</t>
  </si>
  <si>
    <t>Average Transaction Value</t>
  </si>
  <si>
    <t>Higest Transaction</t>
  </si>
  <si>
    <t>Lowest Transaction</t>
  </si>
  <si>
    <t>Revenue</t>
  </si>
  <si>
    <t>PRODUCT ANALYSIS</t>
  </si>
  <si>
    <t xml:space="preserve">Product </t>
  </si>
  <si>
    <t>Total Qty</t>
  </si>
  <si>
    <t>CATEGORY ANALYSIS</t>
  </si>
  <si>
    <t xml:space="preserve">Category </t>
  </si>
  <si>
    <t>MONTHLY ANALYSIS</t>
  </si>
  <si>
    <t>Payment Method</t>
  </si>
  <si>
    <t>Transactions</t>
  </si>
  <si>
    <t>CUSTOMER ANALYSIS</t>
  </si>
  <si>
    <t>Customer Type</t>
  </si>
  <si>
    <t>January</t>
  </si>
  <si>
    <t>February</t>
  </si>
  <si>
    <t>March</t>
  </si>
  <si>
    <t>PAYMENT ANALYSIS</t>
  </si>
  <si>
    <t>Month</t>
  </si>
  <si>
    <t>Café Sales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</si>
</sst>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_-[$Rp-421]* #,##0.00_-;\-[$Rp-421]* #,##0.00_-;_-[$Rp-421]* &quot;-&quot;??_-;_-@_-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169" fontId="0" fillId="0" borderId="1" xfId="0" applyNumberFormat="1" applyBorder="1"/>
    <xf numFmtId="0" fontId="0" fillId="2" borderId="1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69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9" fontId="0" fillId="0" borderId="0" xfId="0" applyNumberFormat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B187C-7B16-49A0-8DBC-FEEAADCBF47E}">
  <dimension ref="A1:I32"/>
  <sheetViews>
    <sheetView tabSelected="1" zoomScale="80" workbookViewId="0">
      <selection sqref="A1:I1"/>
    </sheetView>
  </sheetViews>
  <sheetFormatPr defaultRowHeight="14.4" x14ac:dyDescent="0.3"/>
  <cols>
    <col min="2" max="2" width="12.44140625" customWidth="1"/>
    <col min="3" max="3" width="14.77734375" customWidth="1"/>
    <col min="4" max="4" width="14.33203125" customWidth="1"/>
    <col min="5" max="5" width="14.6640625" customWidth="1"/>
    <col min="6" max="6" width="14.88671875" customWidth="1"/>
    <col min="7" max="7" width="11.44140625" customWidth="1"/>
    <col min="8" max="8" width="17.109375" customWidth="1"/>
    <col min="9" max="9" width="16.6640625" customWidth="1"/>
  </cols>
  <sheetData>
    <row r="1" spans="1:9" x14ac:dyDescent="0.3">
      <c r="A1" s="17" t="s">
        <v>74</v>
      </c>
      <c r="B1" s="17"/>
      <c r="C1" s="17"/>
      <c r="D1" s="17"/>
      <c r="E1" s="17"/>
      <c r="F1" s="17"/>
      <c r="G1" s="17"/>
      <c r="H1" s="17"/>
      <c r="I1" s="17"/>
    </row>
    <row r="2" spans="1:9" x14ac:dyDescent="0.3">
      <c r="A2" s="3" t="s">
        <v>0</v>
      </c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3" t="s">
        <v>50</v>
      </c>
      <c r="I2" s="3" t="s">
        <v>58</v>
      </c>
    </row>
    <row r="3" spans="1:9" x14ac:dyDescent="0.3">
      <c r="A3" s="1" t="s">
        <v>1</v>
      </c>
      <c r="B3" s="2">
        <v>46025</v>
      </c>
      <c r="C3" s="1" t="s">
        <v>31</v>
      </c>
      <c r="D3" s="1" t="s">
        <v>37</v>
      </c>
      <c r="E3" s="1">
        <v>2</v>
      </c>
      <c r="F3" s="6">
        <v>18000</v>
      </c>
      <c r="G3" s="1" t="s">
        <v>40</v>
      </c>
      <c r="H3" s="1" t="s">
        <v>41</v>
      </c>
      <c r="I3" s="7">
        <f>SUM(E3*F3)</f>
        <v>36000</v>
      </c>
    </row>
    <row r="4" spans="1:9" x14ac:dyDescent="0.3">
      <c r="A4" s="1" t="s">
        <v>2</v>
      </c>
      <c r="B4" s="2">
        <v>46025</v>
      </c>
      <c r="C4" s="1" t="s">
        <v>32</v>
      </c>
      <c r="D4" s="1" t="s">
        <v>38</v>
      </c>
      <c r="E4" s="1">
        <v>1</v>
      </c>
      <c r="F4" s="6">
        <v>22000</v>
      </c>
      <c r="G4" s="1" t="s">
        <v>39</v>
      </c>
      <c r="H4" s="1" t="s">
        <v>43</v>
      </c>
      <c r="I4" s="7">
        <f t="shared" ref="I4:I32" si="0">SUM(E4*F4)</f>
        <v>22000</v>
      </c>
    </row>
    <row r="5" spans="1:9" x14ac:dyDescent="0.3">
      <c r="A5" s="1" t="s">
        <v>3</v>
      </c>
      <c r="B5" s="2">
        <v>46027</v>
      </c>
      <c r="C5" s="1" t="s">
        <v>33</v>
      </c>
      <c r="D5" s="1" t="s">
        <v>37</v>
      </c>
      <c r="E5" s="1">
        <v>1</v>
      </c>
      <c r="F5" s="6">
        <v>24000</v>
      </c>
      <c r="G5" s="1" t="s">
        <v>40</v>
      </c>
      <c r="H5" s="1" t="s">
        <v>43</v>
      </c>
      <c r="I5" s="7">
        <f t="shared" si="0"/>
        <v>24000</v>
      </c>
    </row>
    <row r="6" spans="1:9" x14ac:dyDescent="0.3">
      <c r="A6" s="1" t="s">
        <v>4</v>
      </c>
      <c r="B6" s="2">
        <v>46028</v>
      </c>
      <c r="C6" s="1" t="s">
        <v>31</v>
      </c>
      <c r="D6" s="1" t="s">
        <v>37</v>
      </c>
      <c r="E6" s="1">
        <v>3</v>
      </c>
      <c r="F6" s="6">
        <v>18000</v>
      </c>
      <c r="G6" s="1" t="s">
        <v>42</v>
      </c>
      <c r="H6" s="1" t="s">
        <v>41</v>
      </c>
      <c r="I6" s="7">
        <f t="shared" si="0"/>
        <v>54000</v>
      </c>
    </row>
    <row r="7" spans="1:9" x14ac:dyDescent="0.3">
      <c r="A7" s="1" t="s">
        <v>5</v>
      </c>
      <c r="B7" s="2">
        <v>46030</v>
      </c>
      <c r="C7" s="1" t="s">
        <v>34</v>
      </c>
      <c r="D7" s="1" t="s">
        <v>38</v>
      </c>
      <c r="E7" s="1">
        <v>1</v>
      </c>
      <c r="F7" s="6">
        <v>28000</v>
      </c>
      <c r="G7" s="1" t="s">
        <v>40</v>
      </c>
      <c r="H7" s="1" t="s">
        <v>41</v>
      </c>
      <c r="I7" s="7">
        <f t="shared" si="0"/>
        <v>28000</v>
      </c>
    </row>
    <row r="8" spans="1:9" x14ac:dyDescent="0.3">
      <c r="A8" s="1" t="s">
        <v>6</v>
      </c>
      <c r="B8" s="2">
        <v>46032</v>
      </c>
      <c r="C8" s="1" t="s">
        <v>35</v>
      </c>
      <c r="D8" s="1" t="s">
        <v>38</v>
      </c>
      <c r="E8" s="1">
        <v>2</v>
      </c>
      <c r="F8" s="6">
        <v>20000</v>
      </c>
      <c r="G8" s="1" t="s">
        <v>39</v>
      </c>
      <c r="H8" s="1" t="s">
        <v>43</v>
      </c>
      <c r="I8" s="7">
        <f t="shared" si="0"/>
        <v>40000</v>
      </c>
    </row>
    <row r="9" spans="1:9" x14ac:dyDescent="0.3">
      <c r="A9" s="1" t="s">
        <v>7</v>
      </c>
      <c r="B9" s="2">
        <v>46034</v>
      </c>
      <c r="C9" s="4" t="s">
        <v>33</v>
      </c>
      <c r="D9" s="1" t="s">
        <v>37</v>
      </c>
      <c r="E9" s="1">
        <v>2</v>
      </c>
      <c r="F9" s="6">
        <v>24000</v>
      </c>
      <c r="G9" s="1" t="s">
        <v>40</v>
      </c>
      <c r="H9" s="1" t="s">
        <v>41</v>
      </c>
      <c r="I9" s="7">
        <f t="shared" si="0"/>
        <v>48000</v>
      </c>
    </row>
    <row r="10" spans="1:9" x14ac:dyDescent="0.3">
      <c r="A10" s="1" t="s">
        <v>8</v>
      </c>
      <c r="B10" s="2">
        <v>46036</v>
      </c>
      <c r="C10" s="4" t="s">
        <v>36</v>
      </c>
      <c r="D10" s="1" t="s">
        <v>37</v>
      </c>
      <c r="E10" s="1">
        <v>2</v>
      </c>
      <c r="F10" s="6">
        <v>12000</v>
      </c>
      <c r="G10" s="1" t="s">
        <v>39</v>
      </c>
      <c r="H10" s="1" t="s">
        <v>43</v>
      </c>
      <c r="I10" s="7">
        <f t="shared" si="0"/>
        <v>24000</v>
      </c>
    </row>
    <row r="11" spans="1:9" x14ac:dyDescent="0.3">
      <c r="A11" s="1" t="s">
        <v>9</v>
      </c>
      <c r="B11" s="2">
        <v>46039</v>
      </c>
      <c r="C11" s="4" t="s">
        <v>32</v>
      </c>
      <c r="D11" s="1" t="s">
        <v>38</v>
      </c>
      <c r="E11" s="1">
        <v>2</v>
      </c>
      <c r="F11" s="6">
        <v>22000</v>
      </c>
      <c r="G11" s="1" t="s">
        <v>40</v>
      </c>
      <c r="H11" s="1" t="s">
        <v>41</v>
      </c>
      <c r="I11" s="7">
        <f t="shared" si="0"/>
        <v>44000</v>
      </c>
    </row>
    <row r="12" spans="1:9" x14ac:dyDescent="0.3">
      <c r="A12" s="1" t="s">
        <v>10</v>
      </c>
      <c r="B12" s="2">
        <v>46041</v>
      </c>
      <c r="C12" s="4" t="s">
        <v>31</v>
      </c>
      <c r="D12" s="1" t="s">
        <v>37</v>
      </c>
      <c r="E12" s="1">
        <v>1</v>
      </c>
      <c r="F12" s="6">
        <v>18000</v>
      </c>
      <c r="G12" s="1" t="s">
        <v>42</v>
      </c>
      <c r="H12" s="1" t="s">
        <v>43</v>
      </c>
      <c r="I12" s="7">
        <f t="shared" si="0"/>
        <v>18000</v>
      </c>
    </row>
    <row r="13" spans="1:9" x14ac:dyDescent="0.3">
      <c r="A13" s="1" t="s">
        <v>11</v>
      </c>
      <c r="B13" s="2">
        <v>46055</v>
      </c>
      <c r="C13" s="4" t="s">
        <v>33</v>
      </c>
      <c r="D13" s="1" t="s">
        <v>37</v>
      </c>
      <c r="E13" s="1">
        <v>3</v>
      </c>
      <c r="F13" s="6">
        <v>24000</v>
      </c>
      <c r="G13" s="1" t="s">
        <v>40</v>
      </c>
      <c r="H13" s="1" t="s">
        <v>41</v>
      </c>
      <c r="I13" s="7">
        <f t="shared" si="0"/>
        <v>72000</v>
      </c>
    </row>
    <row r="14" spans="1:9" x14ac:dyDescent="0.3">
      <c r="A14" s="1" t="s">
        <v>12</v>
      </c>
      <c r="B14" s="2">
        <v>46057</v>
      </c>
      <c r="C14" s="4" t="s">
        <v>34</v>
      </c>
      <c r="D14" s="1" t="s">
        <v>38</v>
      </c>
      <c r="E14" s="1">
        <v>2</v>
      </c>
      <c r="F14" s="6">
        <v>28000</v>
      </c>
      <c r="G14" s="1" t="s">
        <v>40</v>
      </c>
      <c r="H14" s="1" t="s">
        <v>43</v>
      </c>
      <c r="I14" s="7">
        <f t="shared" si="0"/>
        <v>56000</v>
      </c>
    </row>
    <row r="15" spans="1:9" x14ac:dyDescent="0.3">
      <c r="A15" s="1" t="s">
        <v>13</v>
      </c>
      <c r="B15" s="2">
        <v>46059</v>
      </c>
      <c r="C15" s="4" t="s">
        <v>31</v>
      </c>
      <c r="D15" s="1" t="s">
        <v>37</v>
      </c>
      <c r="E15" s="1">
        <v>2</v>
      </c>
      <c r="F15" s="6">
        <v>18000</v>
      </c>
      <c r="G15" s="1" t="s">
        <v>39</v>
      </c>
      <c r="H15" s="1" t="s">
        <v>41</v>
      </c>
      <c r="I15" s="7">
        <f t="shared" si="0"/>
        <v>36000</v>
      </c>
    </row>
    <row r="16" spans="1:9" x14ac:dyDescent="0.3">
      <c r="A16" s="1" t="s">
        <v>14</v>
      </c>
      <c r="B16" s="2">
        <v>46060</v>
      </c>
      <c r="C16" s="4" t="s">
        <v>35</v>
      </c>
      <c r="D16" s="1" t="s">
        <v>38</v>
      </c>
      <c r="E16" s="1">
        <v>1</v>
      </c>
      <c r="F16" s="6">
        <v>20000</v>
      </c>
      <c r="G16" s="1" t="s">
        <v>42</v>
      </c>
      <c r="H16" s="1" t="s">
        <v>43</v>
      </c>
      <c r="I16" s="7">
        <f t="shared" si="0"/>
        <v>20000</v>
      </c>
    </row>
    <row r="17" spans="1:9" x14ac:dyDescent="0.3">
      <c r="A17" s="1" t="s">
        <v>15</v>
      </c>
      <c r="B17" s="2">
        <v>46062</v>
      </c>
      <c r="C17" s="1" t="s">
        <v>36</v>
      </c>
      <c r="D17" s="1" t="s">
        <v>37</v>
      </c>
      <c r="E17" s="1">
        <v>4</v>
      </c>
      <c r="F17" s="6">
        <v>12000</v>
      </c>
      <c r="G17" s="1" t="s">
        <v>40</v>
      </c>
      <c r="H17" s="1" t="s">
        <v>41</v>
      </c>
      <c r="I17" s="7">
        <f t="shared" si="0"/>
        <v>48000</v>
      </c>
    </row>
    <row r="18" spans="1:9" x14ac:dyDescent="0.3">
      <c r="A18" s="1" t="s">
        <v>16</v>
      </c>
      <c r="B18" s="2">
        <v>46064</v>
      </c>
      <c r="C18" s="1" t="s">
        <v>32</v>
      </c>
      <c r="D18" s="1" t="s">
        <v>38</v>
      </c>
      <c r="E18" s="1">
        <v>1</v>
      </c>
      <c r="F18" s="6">
        <v>22000</v>
      </c>
      <c r="G18" s="1" t="s">
        <v>39</v>
      </c>
      <c r="H18" s="1" t="s">
        <v>43</v>
      </c>
      <c r="I18" s="7">
        <f t="shared" si="0"/>
        <v>22000</v>
      </c>
    </row>
    <row r="19" spans="1:9" x14ac:dyDescent="0.3">
      <c r="A19" s="1" t="s">
        <v>17</v>
      </c>
      <c r="B19" s="2">
        <v>46067</v>
      </c>
      <c r="C19" s="1" t="s">
        <v>33</v>
      </c>
      <c r="D19" s="1" t="s">
        <v>37</v>
      </c>
      <c r="E19" s="1">
        <v>2</v>
      </c>
      <c r="F19" s="6">
        <v>24000</v>
      </c>
      <c r="G19" s="1" t="s">
        <v>40</v>
      </c>
      <c r="H19" s="1" t="s">
        <v>41</v>
      </c>
      <c r="I19" s="7">
        <f t="shared" si="0"/>
        <v>48000</v>
      </c>
    </row>
    <row r="20" spans="1:9" x14ac:dyDescent="0.3">
      <c r="A20" s="1" t="s">
        <v>18</v>
      </c>
      <c r="B20" s="2">
        <v>46069</v>
      </c>
      <c r="C20" s="5" t="s">
        <v>31</v>
      </c>
      <c r="D20" s="1" t="s">
        <v>37</v>
      </c>
      <c r="E20" s="1">
        <v>4</v>
      </c>
      <c r="F20" s="6">
        <v>18000</v>
      </c>
      <c r="G20" s="1" t="s">
        <v>42</v>
      </c>
      <c r="H20" s="1" t="s">
        <v>41</v>
      </c>
      <c r="I20" s="7">
        <f t="shared" si="0"/>
        <v>72000</v>
      </c>
    </row>
    <row r="21" spans="1:9" x14ac:dyDescent="0.3">
      <c r="A21" s="1" t="s">
        <v>19</v>
      </c>
      <c r="B21" s="2">
        <v>46073</v>
      </c>
      <c r="C21" s="5" t="s">
        <v>34</v>
      </c>
      <c r="D21" s="1" t="s">
        <v>38</v>
      </c>
      <c r="E21" s="1">
        <v>1</v>
      </c>
      <c r="F21" s="6">
        <v>28000</v>
      </c>
      <c r="G21" s="1" t="s">
        <v>40</v>
      </c>
      <c r="H21" s="1" t="s">
        <v>43</v>
      </c>
      <c r="I21" s="7">
        <f t="shared" si="0"/>
        <v>28000</v>
      </c>
    </row>
    <row r="22" spans="1:9" x14ac:dyDescent="0.3">
      <c r="A22" s="1" t="s">
        <v>20</v>
      </c>
      <c r="B22" s="2">
        <v>46076</v>
      </c>
      <c r="C22" s="1" t="s">
        <v>36</v>
      </c>
      <c r="D22" s="1" t="s">
        <v>37</v>
      </c>
      <c r="E22" s="1">
        <v>3</v>
      </c>
      <c r="F22" s="6">
        <v>12000</v>
      </c>
      <c r="G22" s="1" t="s">
        <v>39</v>
      </c>
      <c r="H22" s="1" t="s">
        <v>41</v>
      </c>
      <c r="I22" s="7">
        <f t="shared" si="0"/>
        <v>36000</v>
      </c>
    </row>
    <row r="23" spans="1:9" x14ac:dyDescent="0.3">
      <c r="A23" s="1" t="s">
        <v>21</v>
      </c>
      <c r="B23" s="2">
        <v>46082</v>
      </c>
      <c r="C23" s="1" t="s">
        <v>31</v>
      </c>
      <c r="D23" s="1" t="s">
        <v>37</v>
      </c>
      <c r="E23" s="1">
        <v>3</v>
      </c>
      <c r="F23" s="6">
        <v>18000</v>
      </c>
      <c r="G23" s="1" t="s">
        <v>40</v>
      </c>
      <c r="H23" s="1" t="s">
        <v>41</v>
      </c>
      <c r="I23" s="7">
        <f t="shared" si="0"/>
        <v>54000</v>
      </c>
    </row>
    <row r="24" spans="1:9" x14ac:dyDescent="0.3">
      <c r="A24" s="1" t="s">
        <v>22</v>
      </c>
      <c r="B24" s="2">
        <v>46084</v>
      </c>
      <c r="C24" s="1" t="s">
        <v>32</v>
      </c>
      <c r="D24" s="1" t="s">
        <v>38</v>
      </c>
      <c r="E24" s="1">
        <v>2</v>
      </c>
      <c r="F24" s="6">
        <v>22000</v>
      </c>
      <c r="G24" s="1" t="s">
        <v>42</v>
      </c>
      <c r="H24" s="1" t="s">
        <v>43</v>
      </c>
      <c r="I24" s="7">
        <f t="shared" si="0"/>
        <v>44000</v>
      </c>
    </row>
    <row r="25" spans="1:9" x14ac:dyDescent="0.3">
      <c r="A25" s="1" t="s">
        <v>23</v>
      </c>
      <c r="B25" s="2">
        <v>46086</v>
      </c>
      <c r="C25" s="1" t="s">
        <v>33</v>
      </c>
      <c r="D25" s="1" t="s">
        <v>37</v>
      </c>
      <c r="E25" s="1">
        <v>2</v>
      </c>
      <c r="F25" s="6">
        <v>24000</v>
      </c>
      <c r="G25" s="1" t="s">
        <v>40</v>
      </c>
      <c r="H25" s="1" t="s">
        <v>41</v>
      </c>
      <c r="I25" s="7">
        <f t="shared" si="0"/>
        <v>48000</v>
      </c>
    </row>
    <row r="26" spans="1:9" x14ac:dyDescent="0.3">
      <c r="A26" s="1" t="s">
        <v>24</v>
      </c>
      <c r="B26" s="2">
        <v>46088</v>
      </c>
      <c r="C26" s="1" t="s">
        <v>35</v>
      </c>
      <c r="D26" s="1" t="s">
        <v>38</v>
      </c>
      <c r="E26" s="1">
        <v>2</v>
      </c>
      <c r="F26" s="6">
        <v>20000</v>
      </c>
      <c r="G26" s="1" t="s">
        <v>39</v>
      </c>
      <c r="H26" s="1" t="s">
        <v>43</v>
      </c>
      <c r="I26" s="7">
        <f t="shared" si="0"/>
        <v>40000</v>
      </c>
    </row>
    <row r="27" spans="1:9" x14ac:dyDescent="0.3">
      <c r="A27" s="1" t="s">
        <v>25</v>
      </c>
      <c r="B27" s="2">
        <v>46091</v>
      </c>
      <c r="C27" s="1" t="s">
        <v>36</v>
      </c>
      <c r="D27" s="1" t="s">
        <v>37</v>
      </c>
      <c r="E27" s="1">
        <v>5</v>
      </c>
      <c r="F27" s="6">
        <v>12000</v>
      </c>
      <c r="G27" s="1" t="s">
        <v>40</v>
      </c>
      <c r="H27" s="1" t="s">
        <v>41</v>
      </c>
      <c r="I27" s="7">
        <f t="shared" si="0"/>
        <v>60000</v>
      </c>
    </row>
    <row r="28" spans="1:9" x14ac:dyDescent="0.3">
      <c r="A28" s="1" t="s">
        <v>26</v>
      </c>
      <c r="B28" s="2">
        <v>46093</v>
      </c>
      <c r="C28" s="1" t="s">
        <v>34</v>
      </c>
      <c r="D28" s="1" t="s">
        <v>38</v>
      </c>
      <c r="E28" s="1">
        <v>2</v>
      </c>
      <c r="F28" s="6">
        <v>28000</v>
      </c>
      <c r="G28" s="1" t="s">
        <v>42</v>
      </c>
      <c r="H28" s="1" t="s">
        <v>41</v>
      </c>
      <c r="I28" s="7">
        <f t="shared" si="0"/>
        <v>56000</v>
      </c>
    </row>
    <row r="29" spans="1:9" x14ac:dyDescent="0.3">
      <c r="A29" s="1" t="s">
        <v>27</v>
      </c>
      <c r="B29" s="2">
        <v>46096</v>
      </c>
      <c r="C29" s="1" t="s">
        <v>31</v>
      </c>
      <c r="D29" s="1" t="s">
        <v>37</v>
      </c>
      <c r="E29" s="1">
        <v>2</v>
      </c>
      <c r="F29" s="6">
        <v>18000</v>
      </c>
      <c r="G29" s="1" t="s">
        <v>40</v>
      </c>
      <c r="H29" s="1" t="s">
        <v>43</v>
      </c>
      <c r="I29" s="7">
        <f t="shared" si="0"/>
        <v>36000</v>
      </c>
    </row>
    <row r="30" spans="1:9" x14ac:dyDescent="0.3">
      <c r="A30" s="1" t="s">
        <v>28</v>
      </c>
      <c r="B30" s="2">
        <v>46099</v>
      </c>
      <c r="C30" s="1" t="s">
        <v>32</v>
      </c>
      <c r="D30" s="1" t="s">
        <v>38</v>
      </c>
      <c r="E30" s="1">
        <v>3</v>
      </c>
      <c r="F30" s="6">
        <v>22000</v>
      </c>
      <c r="G30" s="1" t="s">
        <v>39</v>
      </c>
      <c r="H30" s="1" t="s">
        <v>41</v>
      </c>
      <c r="I30" s="7">
        <f t="shared" si="0"/>
        <v>66000</v>
      </c>
    </row>
    <row r="31" spans="1:9" x14ac:dyDescent="0.3">
      <c r="A31" s="1" t="s">
        <v>29</v>
      </c>
      <c r="B31" s="2">
        <v>46102</v>
      </c>
      <c r="C31" s="1" t="s">
        <v>33</v>
      </c>
      <c r="D31" s="1" t="s">
        <v>37</v>
      </c>
      <c r="E31" s="1">
        <v>1</v>
      </c>
      <c r="F31" s="6">
        <v>24000</v>
      </c>
      <c r="G31" s="1" t="s">
        <v>40</v>
      </c>
      <c r="H31" s="1" t="s">
        <v>43</v>
      </c>
      <c r="I31" s="7">
        <f t="shared" si="0"/>
        <v>24000</v>
      </c>
    </row>
    <row r="32" spans="1:9" x14ac:dyDescent="0.3">
      <c r="A32" s="1" t="s">
        <v>30</v>
      </c>
      <c r="B32" s="2">
        <v>46106</v>
      </c>
      <c r="C32" s="1" t="s">
        <v>36</v>
      </c>
      <c r="D32" s="1" t="s">
        <v>37</v>
      </c>
      <c r="E32" s="1">
        <v>2</v>
      </c>
      <c r="F32" s="6">
        <v>12000</v>
      </c>
      <c r="G32" s="1" t="s">
        <v>39</v>
      </c>
      <c r="H32" s="1" t="s">
        <v>41</v>
      </c>
      <c r="I32" s="7">
        <f t="shared" si="0"/>
        <v>24000</v>
      </c>
    </row>
  </sheetData>
  <mergeCells count="1">
    <mergeCell ref="A1:I1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336E9-B617-4B86-BCE4-96DC4AFDD8E3}">
  <dimension ref="A1:F35"/>
  <sheetViews>
    <sheetView topLeftCell="A3" zoomScale="72" workbookViewId="0">
      <selection activeCell="F15" sqref="F15"/>
    </sheetView>
  </sheetViews>
  <sheetFormatPr defaultRowHeight="14.4" x14ac:dyDescent="0.3"/>
  <cols>
    <col min="1" max="1" width="15.88671875" customWidth="1"/>
    <col min="2" max="2" width="17" customWidth="1"/>
    <col min="3" max="3" width="18.109375" customWidth="1"/>
    <col min="4" max="4" width="24" customWidth="1"/>
    <col min="5" max="5" width="17.21875" customWidth="1"/>
    <col min="6" max="6" width="18.6640625" customWidth="1"/>
  </cols>
  <sheetData>
    <row r="1" spans="1:6" x14ac:dyDescent="0.3">
      <c r="A1" s="10" t="s">
        <v>51</v>
      </c>
      <c r="B1" s="10"/>
      <c r="C1" s="10"/>
      <c r="D1" s="10"/>
      <c r="E1" s="10"/>
      <c r="F1" s="10"/>
    </row>
    <row r="3" spans="1:6" x14ac:dyDescent="0.3">
      <c r="A3" s="8" t="s">
        <v>52</v>
      </c>
      <c r="B3" s="8" t="s">
        <v>53</v>
      </c>
      <c r="C3" s="8" t="s">
        <v>54</v>
      </c>
      <c r="D3" s="8" t="s">
        <v>55</v>
      </c>
      <c r="E3" s="8" t="s">
        <v>56</v>
      </c>
      <c r="F3" s="8" t="s">
        <v>57</v>
      </c>
    </row>
    <row r="4" spans="1:6" x14ac:dyDescent="0.3">
      <c r="A4" s="11">
        <f>SUM('Raw Data'!I3:I32)</f>
        <v>1228000</v>
      </c>
      <c r="B4" s="4">
        <f>SUM('Raw Data'!E3:E32)</f>
        <v>64</v>
      </c>
      <c r="C4" s="4">
        <f>COUNTA('Raw Data'!A3:A32)</f>
        <v>30</v>
      </c>
      <c r="D4" s="11">
        <f>AVERAGE('Raw Data'!I3:I32)</f>
        <v>40933.333333333336</v>
      </c>
      <c r="E4" s="11">
        <f>MAX('Raw Data'!I3:I32)</f>
        <v>72000</v>
      </c>
      <c r="F4" s="11">
        <f>MIN('Raw Data'!I3:I32)</f>
        <v>18000</v>
      </c>
    </row>
    <row r="6" spans="1:6" x14ac:dyDescent="0.3">
      <c r="A6" s="10" t="s">
        <v>59</v>
      </c>
      <c r="B6" s="10"/>
      <c r="C6" s="10"/>
    </row>
    <row r="7" spans="1:6" x14ac:dyDescent="0.3">
      <c r="A7" s="8" t="s">
        <v>60</v>
      </c>
      <c r="B7" s="8" t="s">
        <v>61</v>
      </c>
      <c r="C7" s="8" t="s">
        <v>52</v>
      </c>
    </row>
    <row r="8" spans="1:6" x14ac:dyDescent="0.3">
      <c r="A8" s="1" t="s">
        <v>31</v>
      </c>
      <c r="B8" s="4">
        <f>SUMIF('Raw Data'!C3:C32, A8, 'Raw Data'!E3:E32)</f>
        <v>17</v>
      </c>
      <c r="C8" s="11">
        <f>SUMIF('Raw Data'!C3:C32, Analysis!A8, 'Raw Data'!I3:I32)</f>
        <v>306000</v>
      </c>
    </row>
    <row r="9" spans="1:6" x14ac:dyDescent="0.3">
      <c r="A9" s="1" t="s">
        <v>32</v>
      </c>
      <c r="B9" s="4">
        <f>SUMIF('Raw Data'!C4:C33, A9, 'Raw Data'!E4:E33)</f>
        <v>9</v>
      </c>
      <c r="C9" s="11">
        <f>SUMIF('Raw Data'!C4:C33, Analysis!A9, 'Raw Data'!I4:I33)</f>
        <v>198000</v>
      </c>
    </row>
    <row r="10" spans="1:6" x14ac:dyDescent="0.3">
      <c r="A10" s="1" t="s">
        <v>33</v>
      </c>
      <c r="B10" s="4">
        <f>SUMIF('Raw Data'!C5:C34, A10, 'Raw Data'!E5:E34)</f>
        <v>11</v>
      </c>
      <c r="C10" s="11">
        <f>SUMIF('Raw Data'!C5:C34, Analysis!A10, 'Raw Data'!I5:I34)</f>
        <v>264000</v>
      </c>
    </row>
    <row r="11" spans="1:6" x14ac:dyDescent="0.3">
      <c r="A11" s="1" t="s">
        <v>34</v>
      </c>
      <c r="B11" s="4">
        <f>SUMIF('Raw Data'!C7:C36, A11, 'Raw Data'!E7:E36)</f>
        <v>6</v>
      </c>
      <c r="C11" s="11">
        <f>SUMIF('Raw Data'!C7:C36, Analysis!A11, 'Raw Data'!I7:I36)</f>
        <v>168000</v>
      </c>
    </row>
    <row r="12" spans="1:6" x14ac:dyDescent="0.3">
      <c r="A12" s="1" t="s">
        <v>35</v>
      </c>
      <c r="B12" s="4">
        <f>SUMIF('Raw Data'!C8:C37, A12, 'Raw Data'!E8:E37)</f>
        <v>5</v>
      </c>
      <c r="C12" s="11">
        <f>SUMIF('Raw Data'!C8:C37, Analysis!A12, 'Raw Data'!I8:I37)</f>
        <v>100000</v>
      </c>
    </row>
    <row r="13" spans="1:6" x14ac:dyDescent="0.3">
      <c r="A13" s="4" t="s">
        <v>36</v>
      </c>
      <c r="B13" s="4">
        <f>SUMIF('Raw Data'!C9:C38, A13, 'Raw Data'!E9:E38)</f>
        <v>16</v>
      </c>
      <c r="C13" s="11">
        <f>SUMIF('Raw Data'!C9:C38, Analysis!A13, 'Raw Data'!I9:I38)</f>
        <v>192000</v>
      </c>
    </row>
    <row r="14" spans="1:6" x14ac:dyDescent="0.3">
      <c r="A14" s="9"/>
    </row>
    <row r="15" spans="1:6" x14ac:dyDescent="0.3">
      <c r="A15" s="13" t="s">
        <v>62</v>
      </c>
      <c r="B15" s="13"/>
      <c r="C15" s="13"/>
    </row>
    <row r="16" spans="1:6" x14ac:dyDescent="0.3">
      <c r="A16" s="3" t="s">
        <v>63</v>
      </c>
      <c r="B16" s="8" t="s">
        <v>61</v>
      </c>
      <c r="C16" s="8" t="s">
        <v>52</v>
      </c>
    </row>
    <row r="17" spans="1:3" x14ac:dyDescent="0.3">
      <c r="A17" s="12" t="s">
        <v>37</v>
      </c>
      <c r="B17" s="4">
        <f>SUMIF('Raw Data'!D3:D32, Analysis!A17, 'Raw Data'!E3:E32)</f>
        <v>44</v>
      </c>
      <c r="C17" s="11">
        <f>SUMIF('Raw Data'!D3:D32, Analysis!A17, 'Raw Data'!I3:I32)</f>
        <v>762000</v>
      </c>
    </row>
    <row r="18" spans="1:3" x14ac:dyDescent="0.3">
      <c r="A18" s="12" t="s">
        <v>38</v>
      </c>
      <c r="B18" s="4">
        <f>SUMIF('Raw Data'!D3:D32, Analysis!A18, 'Raw Data'!E3:E32)</f>
        <v>20</v>
      </c>
      <c r="C18" s="11">
        <f>SUMIF('Raw Data'!D4:D33, Analysis!A18, 'Raw Data'!I4:I33)</f>
        <v>466000</v>
      </c>
    </row>
    <row r="20" spans="1:3" x14ac:dyDescent="0.3">
      <c r="A20" s="10" t="s">
        <v>64</v>
      </c>
      <c r="B20" s="10"/>
      <c r="C20" s="10"/>
    </row>
    <row r="21" spans="1:3" x14ac:dyDescent="0.3">
      <c r="A21" s="8" t="s">
        <v>73</v>
      </c>
      <c r="B21" s="8" t="s">
        <v>66</v>
      </c>
      <c r="C21" s="8" t="s">
        <v>58</v>
      </c>
    </row>
    <row r="22" spans="1:3" x14ac:dyDescent="0.3">
      <c r="A22" s="4" t="s">
        <v>69</v>
      </c>
      <c r="B22" s="4">
        <f>COUNTIFS('Raw Data'!B3:B32,"&gt;="&amp;DATE(2026,1,1),'Raw Data'!B3:B32,"&lt;"&amp;DATE(2026,2,1))</f>
        <v>10</v>
      </c>
      <c r="C22" s="11">
        <f>SUMIFS('Raw Data'!I3:I32,'Raw Data'!B3:B32,"&gt;="&amp;DATE(2026,1,1),'Raw Data'!B3:B32,"&lt;"&amp;DATE(2026,2,1))</f>
        <v>338000</v>
      </c>
    </row>
    <row r="23" spans="1:3" x14ac:dyDescent="0.3">
      <c r="A23" s="4" t="s">
        <v>70</v>
      </c>
      <c r="B23" s="4">
        <f>COUNTIFS('Raw Data'!B3:B32,"&gt;="&amp;DATE(2026,2,1),'Raw Data'!B3:B32,"&lt;"&amp;DATE(2026,3,1))</f>
        <v>10</v>
      </c>
      <c r="C23" s="11">
        <f>SUMIFS('Raw Data'!I3:I32,'Raw Data'!B3:B32,"&gt;="&amp;DATE(2026,2,1),'Raw Data'!B3:B32,"&lt;"&amp;DATE(2026,3,1))</f>
        <v>438000</v>
      </c>
    </row>
    <row r="24" spans="1:3" x14ac:dyDescent="0.3">
      <c r="A24" s="4" t="s">
        <v>71</v>
      </c>
      <c r="B24" s="4">
        <f>COUNTIFS('Raw Data'!B3:B32,"&gt;="&amp;DATE(2026,3,1),'Raw Data'!B3:B32,"&lt;"&amp;DATE(2026,4,1))</f>
        <v>10</v>
      </c>
      <c r="C24" s="11">
        <f>SUMIFS('Raw Data'!I3:I32,'Raw Data'!B3:B32,"&gt;="&amp;DATE(2026,3,1),'Raw Data'!B3:B32,"&lt;"&amp;DATE(2026,4,1))</f>
        <v>452000</v>
      </c>
    </row>
    <row r="25" spans="1:3" x14ac:dyDescent="0.3">
      <c r="A25" s="9"/>
      <c r="B25" s="9"/>
      <c r="C25" s="16"/>
    </row>
    <row r="26" spans="1:3" x14ac:dyDescent="0.3">
      <c r="A26" s="10" t="s">
        <v>72</v>
      </c>
      <c r="B26" s="10"/>
      <c r="C26" s="10"/>
    </row>
    <row r="27" spans="1:3" x14ac:dyDescent="0.3">
      <c r="A27" s="8" t="s">
        <v>65</v>
      </c>
      <c r="B27" s="8" t="s">
        <v>66</v>
      </c>
      <c r="C27" s="8" t="s">
        <v>58</v>
      </c>
    </row>
    <row r="28" spans="1:3" x14ac:dyDescent="0.3">
      <c r="A28" s="4" t="s">
        <v>40</v>
      </c>
      <c r="B28" s="4">
        <f>COUNTIF('Raw Data'!G3:G32, Analysis!A28)</f>
        <v>15</v>
      </c>
      <c r="C28" s="11">
        <f>SUMIF('Raw Data'!G3:G32, A28, 'Raw Data'!I3:I32)</f>
        <v>654000</v>
      </c>
    </row>
    <row r="29" spans="1:3" x14ac:dyDescent="0.3">
      <c r="A29" s="4" t="s">
        <v>39</v>
      </c>
      <c r="B29" s="4">
        <f>COUNTIF('Raw Data'!G4:G33, Analysis!A29)</f>
        <v>9</v>
      </c>
      <c r="C29" s="11">
        <f>SUMIF('Raw Data'!G4:G33, A29, 'Raw Data'!I4:I33)</f>
        <v>310000</v>
      </c>
    </row>
    <row r="30" spans="1:3" x14ac:dyDescent="0.3">
      <c r="A30" s="4" t="s">
        <v>42</v>
      </c>
      <c r="B30" s="4">
        <f>COUNTIF('Raw Data'!G5:G34, Analysis!A30)</f>
        <v>6</v>
      </c>
      <c r="C30" s="11">
        <f>SUMIF('Raw Data'!G5:G34, A30, 'Raw Data'!I5:I34)</f>
        <v>264000</v>
      </c>
    </row>
    <row r="31" spans="1:3" x14ac:dyDescent="0.3">
      <c r="A31" s="9"/>
      <c r="B31" s="9"/>
      <c r="C31" s="16"/>
    </row>
    <row r="32" spans="1:3" x14ac:dyDescent="0.3">
      <c r="A32" s="14" t="s">
        <v>67</v>
      </c>
      <c r="B32" s="14"/>
      <c r="C32" s="14"/>
    </row>
    <row r="33" spans="1:3" x14ac:dyDescent="0.3">
      <c r="A33" s="8" t="s">
        <v>68</v>
      </c>
      <c r="B33" s="8" t="s">
        <v>66</v>
      </c>
      <c r="C33" s="8" t="s">
        <v>58</v>
      </c>
    </row>
    <row r="34" spans="1:3" x14ac:dyDescent="0.3">
      <c r="A34" s="15" t="s">
        <v>43</v>
      </c>
      <c r="B34" s="4">
        <f>COUNTIF('Raw Data'!H3:H32, Analysis!A34)</f>
        <v>13</v>
      </c>
      <c r="C34" s="11">
        <f>SUMIF('Raw Data'!H3:H32, Analysis!A34, 'Raw Data'!I3:I32)</f>
        <v>398000</v>
      </c>
    </row>
    <row r="35" spans="1:3" x14ac:dyDescent="0.3">
      <c r="A35" s="15" t="s">
        <v>41</v>
      </c>
      <c r="B35" s="4">
        <f>COUNTIF('Raw Data'!H3:H32,Analysis!A35)</f>
        <v>17</v>
      </c>
      <c r="C35" s="11">
        <f>SUMIF('Raw Data'!H3:H32, Analysis!A35, 'Raw Data'!I3:I32)</f>
        <v>830000</v>
      </c>
    </row>
  </sheetData>
  <mergeCells count="6">
    <mergeCell ref="A1:F1"/>
    <mergeCell ref="A6:C6"/>
    <mergeCell ref="A15:C15"/>
    <mergeCell ref="A20:C20"/>
    <mergeCell ref="A32:C32"/>
    <mergeCell ref="A26:C2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2026-09-04T10:52:50Z</dcterms:created>
  <dcterms:modified xsi:type="dcterms:W3CDTF">2026-09-04T16:09:46Z</dcterms:modified>
</cp:coreProperties>
</file>